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ris\Documents\GitHub\ecologia-vegetal\practicas\data\"/>
    </mc:Choice>
  </mc:AlternateContent>
  <xr:revisionPtr revIDLastSave="0" documentId="13_ncr:1_{68A0A322-D1DE-4216-8759-6A08A92CD774}" xr6:coauthVersionLast="47" xr6:coauthVersionMax="47" xr10:uidLastSave="{00000000-0000-0000-0000-000000000000}"/>
  <bookViews>
    <workbookView xWindow="-110" yWindow="-110" windowWidth="21820" windowHeight="13900" activeTab="3" xr2:uid="{8E2D9A6E-24DF-4310-8BF5-23700DDE4E8E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4" l="1"/>
  <c r="F24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3" i="4"/>
  <c r="B24" i="4"/>
  <c r="C24" i="4"/>
  <c r="D24" i="4"/>
  <c r="E24" i="4"/>
  <c r="B26" i="4"/>
  <c r="D26" i="4" s="1"/>
  <c r="B23" i="2"/>
  <c r="B22" i="2"/>
  <c r="F24" i="1"/>
  <c r="F22" i="1"/>
  <c r="A22" i="2"/>
  <c r="E24" i="1"/>
  <c r="E22" i="1"/>
  <c r="D22" i="1"/>
</calcChain>
</file>

<file path=xl/sharedStrings.xml><?xml version="1.0" encoding="utf-8"?>
<sst xmlns="http://schemas.openxmlformats.org/spreadsheetml/2006/main" count="17" uniqueCount="15">
  <si>
    <t>distancia (cm)</t>
  </si>
  <si>
    <t>distancia</t>
  </si>
  <si>
    <t>eje_x</t>
  </si>
  <si>
    <t>eje_y</t>
  </si>
  <si>
    <t>N° punto</t>
  </si>
  <si>
    <t>densidad</t>
  </si>
  <si>
    <t>Método 3</t>
  </si>
  <si>
    <t>Cuadrante 1</t>
  </si>
  <si>
    <t>Cuadrante 2</t>
  </si>
  <si>
    <t>Cuadrante 3</t>
  </si>
  <si>
    <t>Cuadrante 4</t>
  </si>
  <si>
    <t>D</t>
  </si>
  <si>
    <t>A</t>
  </si>
  <si>
    <t>d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</si>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</sst>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00" formatCode="0.0000E+00"/>
    <numFmt numFmtId="205" formatCode="0.0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200" fontId="0" fillId="0" borderId="0" xfId="0" applyNumberFormat="1"/>
    <xf numFmtId="0" fontId="1" fillId="0" borderId="4" xfId="0" applyFont="1" applyBorder="1" applyAlignment="1">
      <alignment horizontal="center" wrapText="1"/>
    </xf>
    <xf numFmtId="205" fontId="0" fillId="0" borderId="0" xfId="0" applyNumberFormat="1"/>
    <xf numFmtId="205" fontId="1" fillId="0" borderId="1" xfId="0" applyNumberFormat="1" applyFont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18F1-3A82-4264-A339-9B5B570C5F4F}">
  <dimension ref="A1:F24"/>
  <sheetViews>
    <sheetView workbookViewId="0">
      <selection activeCell="E24" sqref="E24"/>
    </sheetView>
  </sheetViews>
  <sheetFormatPr baseColWidth="10" defaultRowHeight="14.5" x14ac:dyDescent="0.35"/>
  <sheetData>
    <row r="1" spans="1:4" x14ac:dyDescent="0.35">
      <c r="A1" t="s">
        <v>4</v>
      </c>
      <c r="B1" t="s">
        <v>2</v>
      </c>
      <c r="C1" t="s">
        <v>3</v>
      </c>
      <c r="D1" t="s">
        <v>0</v>
      </c>
    </row>
    <row r="2" spans="1:4" x14ac:dyDescent="0.35">
      <c r="A2">
        <v>1</v>
      </c>
      <c r="B2">
        <v>3</v>
      </c>
      <c r="C2">
        <v>14</v>
      </c>
      <c r="D2">
        <v>60</v>
      </c>
    </row>
    <row r="3" spans="1:4" x14ac:dyDescent="0.35">
      <c r="A3">
        <v>2</v>
      </c>
      <c r="B3">
        <v>23</v>
      </c>
      <c r="C3">
        <v>14</v>
      </c>
      <c r="D3">
        <v>26</v>
      </c>
    </row>
    <row r="4" spans="1:4" x14ac:dyDescent="0.35">
      <c r="A4">
        <v>3</v>
      </c>
      <c r="B4">
        <v>32</v>
      </c>
      <c r="C4">
        <v>9</v>
      </c>
      <c r="D4">
        <v>31</v>
      </c>
    </row>
    <row r="5" spans="1:4" x14ac:dyDescent="0.35">
      <c r="A5">
        <v>4</v>
      </c>
      <c r="B5">
        <v>35</v>
      </c>
      <c r="C5">
        <v>18</v>
      </c>
      <c r="D5">
        <v>16</v>
      </c>
    </row>
    <row r="6" spans="1:4" x14ac:dyDescent="0.35">
      <c r="A6">
        <v>5</v>
      </c>
      <c r="B6">
        <v>35</v>
      </c>
      <c r="C6">
        <v>4</v>
      </c>
      <c r="D6">
        <v>15</v>
      </c>
    </row>
    <row r="7" spans="1:4" x14ac:dyDescent="0.35">
      <c r="A7">
        <v>6</v>
      </c>
      <c r="B7">
        <v>14</v>
      </c>
      <c r="C7">
        <v>6</v>
      </c>
      <c r="D7">
        <v>28</v>
      </c>
    </row>
    <row r="8" spans="1:4" x14ac:dyDescent="0.35">
      <c r="A8">
        <v>7</v>
      </c>
      <c r="B8">
        <v>38</v>
      </c>
      <c r="C8">
        <v>16</v>
      </c>
      <c r="D8">
        <v>24</v>
      </c>
    </row>
    <row r="9" spans="1:4" x14ac:dyDescent="0.35">
      <c r="A9">
        <v>8</v>
      </c>
      <c r="B9">
        <v>3</v>
      </c>
      <c r="C9">
        <v>11</v>
      </c>
      <c r="D9">
        <v>74</v>
      </c>
    </row>
    <row r="10" spans="1:4" x14ac:dyDescent="0.35">
      <c r="A10">
        <v>9</v>
      </c>
      <c r="B10">
        <v>13</v>
      </c>
      <c r="C10">
        <v>2</v>
      </c>
      <c r="D10">
        <v>50</v>
      </c>
    </row>
    <row r="11" spans="1:4" x14ac:dyDescent="0.35">
      <c r="A11">
        <v>10</v>
      </c>
      <c r="B11">
        <v>19</v>
      </c>
      <c r="C11">
        <v>0</v>
      </c>
      <c r="D11">
        <v>35</v>
      </c>
    </row>
    <row r="12" spans="1:4" x14ac:dyDescent="0.35">
      <c r="A12">
        <v>11</v>
      </c>
      <c r="B12">
        <v>5</v>
      </c>
      <c r="C12">
        <v>3</v>
      </c>
      <c r="D12">
        <v>35</v>
      </c>
    </row>
    <row r="13" spans="1:4" x14ac:dyDescent="0.35">
      <c r="A13">
        <v>12</v>
      </c>
      <c r="B13">
        <v>8</v>
      </c>
      <c r="C13">
        <v>16</v>
      </c>
      <c r="D13">
        <v>45</v>
      </c>
    </row>
    <row r="14" spans="1:4" x14ac:dyDescent="0.35">
      <c r="A14">
        <v>13</v>
      </c>
      <c r="B14">
        <v>14</v>
      </c>
      <c r="C14">
        <v>3</v>
      </c>
      <c r="D14">
        <v>30</v>
      </c>
    </row>
    <row r="15" spans="1:4" x14ac:dyDescent="0.35">
      <c r="A15">
        <v>14</v>
      </c>
      <c r="B15">
        <v>2</v>
      </c>
      <c r="C15">
        <v>20</v>
      </c>
      <c r="D15">
        <v>20</v>
      </c>
    </row>
    <row r="16" spans="1:4" x14ac:dyDescent="0.35">
      <c r="A16">
        <v>15</v>
      </c>
      <c r="B16">
        <v>8</v>
      </c>
      <c r="C16">
        <v>14</v>
      </c>
      <c r="D16">
        <v>137</v>
      </c>
    </row>
    <row r="17" spans="1:6" x14ac:dyDescent="0.35">
      <c r="A17">
        <v>16</v>
      </c>
      <c r="B17">
        <v>34</v>
      </c>
      <c r="C17">
        <v>15</v>
      </c>
      <c r="D17">
        <v>42</v>
      </c>
    </row>
    <row r="18" spans="1:6" x14ac:dyDescent="0.35">
      <c r="A18">
        <v>17</v>
      </c>
      <c r="B18">
        <v>28</v>
      </c>
      <c r="C18">
        <v>13</v>
      </c>
      <c r="D18">
        <v>102</v>
      </c>
    </row>
    <row r="19" spans="1:6" x14ac:dyDescent="0.35">
      <c r="A19">
        <v>18</v>
      </c>
      <c r="B19">
        <v>40</v>
      </c>
      <c r="C19">
        <v>2</v>
      </c>
      <c r="D19">
        <v>106</v>
      </c>
    </row>
    <row r="20" spans="1:6" x14ac:dyDescent="0.35">
      <c r="A20">
        <v>19</v>
      </c>
      <c r="B20">
        <v>26</v>
      </c>
      <c r="C20">
        <v>8</v>
      </c>
      <c r="D20">
        <v>47</v>
      </c>
    </row>
    <row r="21" spans="1:6" x14ac:dyDescent="0.35">
      <c r="A21">
        <v>20</v>
      </c>
      <c r="B21">
        <v>33</v>
      </c>
      <c r="C21">
        <v>1</v>
      </c>
      <c r="D21">
        <v>12</v>
      </c>
    </row>
    <row r="22" spans="1:6" x14ac:dyDescent="0.35">
      <c r="D22">
        <f>+AVERAGE(D2:D21)</f>
        <v>46.75</v>
      </c>
      <c r="E22">
        <f>+D22/100</f>
        <v>0.46750000000000003</v>
      </c>
      <c r="F22">
        <f>1.6667*E22</f>
        <v>0.77918225000000008</v>
      </c>
    </row>
    <row r="24" spans="1:6" x14ac:dyDescent="0.35">
      <c r="D24" t="s">
        <v>5</v>
      </c>
      <c r="E24">
        <f>1/(POWER(1.6667*E22, 2))</f>
        <v>1.6471073256060551</v>
      </c>
      <c r="F24">
        <f>1/POWER(F22,2)</f>
        <v>1.6471073256060551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E71E-7893-46F2-A0FD-858E54CD8351}">
  <dimension ref="A1:B23"/>
  <sheetViews>
    <sheetView workbookViewId="0">
      <selection activeCell="B23" sqref="B23"/>
    </sheetView>
  </sheetViews>
  <sheetFormatPr baseColWidth="10" defaultRowHeight="14.5" x14ac:dyDescent="0.35"/>
  <cols>
    <col min="2" max="2" width="12.54296875" customWidth="1"/>
  </cols>
  <sheetData>
    <row r="1" spans="1:1" ht="15" thickBot="1" x14ac:dyDescent="0.4">
      <c r="A1" s="1" t="s">
        <v>1</v>
      </c>
    </row>
    <row r="2" spans="1:1" x14ac:dyDescent="0.35">
      <c r="A2">
        <v>149</v>
      </c>
    </row>
    <row r="3" spans="1:1" x14ac:dyDescent="0.35">
      <c r="A3">
        <v>30</v>
      </c>
    </row>
    <row r="4" spans="1:1" x14ac:dyDescent="0.35">
      <c r="A4">
        <v>20</v>
      </c>
    </row>
    <row r="5" spans="1:1" x14ac:dyDescent="0.35">
      <c r="A5">
        <v>7</v>
      </c>
    </row>
    <row r="6" spans="1:1" x14ac:dyDescent="0.35">
      <c r="A6">
        <v>70</v>
      </c>
    </row>
    <row r="7" spans="1:1" x14ac:dyDescent="0.35">
      <c r="A7">
        <v>180</v>
      </c>
    </row>
    <row r="8" spans="1:1" x14ac:dyDescent="0.35">
      <c r="A8">
        <v>12</v>
      </c>
    </row>
    <row r="9" spans="1:1" x14ac:dyDescent="0.35">
      <c r="A9">
        <v>164</v>
      </c>
    </row>
    <row r="10" spans="1:1" x14ac:dyDescent="0.35">
      <c r="A10">
        <v>276</v>
      </c>
    </row>
    <row r="11" spans="1:1" x14ac:dyDescent="0.35">
      <c r="A11">
        <v>43</v>
      </c>
    </row>
    <row r="12" spans="1:1" x14ac:dyDescent="0.35">
      <c r="A12">
        <v>17</v>
      </c>
    </row>
    <row r="13" spans="1:1" x14ac:dyDescent="0.35">
      <c r="A13">
        <v>63</v>
      </c>
    </row>
    <row r="14" spans="1:1" x14ac:dyDescent="0.35">
      <c r="A14">
        <v>322</v>
      </c>
    </row>
    <row r="15" spans="1:1" x14ac:dyDescent="0.35">
      <c r="A15">
        <v>150</v>
      </c>
    </row>
    <row r="16" spans="1:1" x14ac:dyDescent="0.35">
      <c r="A16">
        <v>108</v>
      </c>
    </row>
    <row r="17" spans="1:2" x14ac:dyDescent="0.35">
      <c r="A17">
        <v>28</v>
      </c>
    </row>
    <row r="18" spans="1:2" x14ac:dyDescent="0.35">
      <c r="A18">
        <v>51</v>
      </c>
    </row>
    <row r="19" spans="1:2" x14ac:dyDescent="0.35">
      <c r="A19">
        <v>50</v>
      </c>
    </row>
    <row r="20" spans="1:2" x14ac:dyDescent="0.35">
      <c r="A20">
        <v>16</v>
      </c>
    </row>
    <row r="21" spans="1:2" x14ac:dyDescent="0.35">
      <c r="A21">
        <v>64</v>
      </c>
    </row>
    <row r="22" spans="1:2" x14ac:dyDescent="0.35">
      <c r="A22">
        <f>+AVERAGE(A2:A21)</f>
        <v>91</v>
      </c>
      <c r="B22">
        <f>2*A22</f>
        <v>182</v>
      </c>
    </row>
    <row r="23" spans="1:2" x14ac:dyDescent="0.35">
      <c r="B23" s="4">
        <f>1/POWER(B22, 2)</f>
        <v>3.0189590629151068E-5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05AC-16D8-4609-8328-D4C7D7DE10BC}">
  <dimension ref="A1"/>
  <sheetViews>
    <sheetView workbookViewId="0">
      <selection activeCell="E23" sqref="A23:E23"/>
    </sheetView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5B56-4F2D-4177-B1EB-343206C1BE76}">
  <dimension ref="B1:F26"/>
  <sheetViews>
    <sheetView tabSelected="1" workbookViewId="0">
      <selection activeCell="F26" sqref="F26"/>
    </sheetView>
  </sheetViews>
  <sheetFormatPr baseColWidth="10" defaultRowHeight="14.5" x14ac:dyDescent="0.35"/>
  <sheetData>
    <row r="1" spans="2:6" ht="15" thickBot="1" x14ac:dyDescent="0.4">
      <c r="B1" s="2" t="s">
        <v>6</v>
      </c>
      <c r="C1" s="5"/>
      <c r="D1" s="5"/>
      <c r="E1" s="3"/>
    </row>
    <row r="2" spans="2:6" ht="15" thickBot="1" x14ac:dyDescent="0.4">
      <c r="B2" s="1" t="s">
        <v>7</v>
      </c>
      <c r="C2" s="1" t="s">
        <v>8</v>
      </c>
      <c r="D2" s="1" t="s">
        <v>9</v>
      </c>
      <c r="E2" s="1" t="s">
        <v>10</v>
      </c>
      <c r="F2" s="8" t="s">
        <v>14</v>
      </c>
    </row>
    <row r="3" spans="2:6" ht="15" thickBot="1" x14ac:dyDescent="0.4">
      <c r="B3" s="1">
        <v>1.49</v>
      </c>
      <c r="C3" s="1">
        <v>4.25</v>
      </c>
      <c r="D3" s="1">
        <v>3.05</v>
      </c>
      <c r="E3" s="1">
        <v>1.82</v>
      </c>
      <c r="F3">
        <f>AVERAGE(B3:E3)</f>
        <v>2.6524999999999999</v>
      </c>
    </row>
    <row r="4" spans="2:6" ht="15" thickBot="1" x14ac:dyDescent="0.4">
      <c r="B4" s="1">
        <v>0.31</v>
      </c>
      <c r="C4" s="1">
        <v>0.43</v>
      </c>
      <c r="D4" s="1">
        <v>0.3</v>
      </c>
      <c r="E4" s="1">
        <v>0.36</v>
      </c>
      <c r="F4">
        <f t="shared" ref="F4:F22" si="0">AVERAGE(B4:E4)</f>
        <v>0.35</v>
      </c>
    </row>
    <row r="5" spans="2:6" ht="15" thickBot="1" x14ac:dyDescent="0.4">
      <c r="B5" s="1">
        <v>0.2</v>
      </c>
      <c r="C5" s="1">
        <v>0.35</v>
      </c>
      <c r="D5" s="1">
        <v>0.38</v>
      </c>
      <c r="E5" s="1">
        <v>0.35</v>
      </c>
      <c r="F5">
        <f t="shared" si="0"/>
        <v>0.32</v>
      </c>
    </row>
    <row r="6" spans="2:6" ht="15" thickBot="1" x14ac:dyDescent="0.4">
      <c r="B6" s="1">
        <v>7.0000000000000007E-2</v>
      </c>
      <c r="C6" s="1">
        <v>0.16</v>
      </c>
      <c r="D6" s="1">
        <v>0.42</v>
      </c>
      <c r="E6" s="1">
        <v>0.5</v>
      </c>
      <c r="F6">
        <f t="shared" si="0"/>
        <v>0.28749999999999998</v>
      </c>
    </row>
    <row r="7" spans="2:6" ht="15" thickBot="1" x14ac:dyDescent="0.4">
      <c r="B7" s="1">
        <v>2.48</v>
      </c>
      <c r="C7" s="1">
        <v>0.7</v>
      </c>
      <c r="D7" s="1">
        <v>3.15</v>
      </c>
      <c r="E7" s="1">
        <v>1.4</v>
      </c>
      <c r="F7">
        <f t="shared" si="0"/>
        <v>1.9325000000000001</v>
      </c>
    </row>
    <row r="8" spans="2:6" ht="15" thickBot="1" x14ac:dyDescent="0.4">
      <c r="B8" s="1">
        <v>1.8</v>
      </c>
      <c r="C8" s="1">
        <v>5.91</v>
      </c>
      <c r="D8" s="1">
        <v>2.2799999999999998</v>
      </c>
      <c r="E8" s="1">
        <v>2.2000000000000002</v>
      </c>
      <c r="F8">
        <f t="shared" si="0"/>
        <v>3.0475000000000003</v>
      </c>
    </row>
    <row r="9" spans="2:6" ht="15" thickBot="1" x14ac:dyDescent="0.4">
      <c r="B9" s="1">
        <v>0.9</v>
      </c>
      <c r="C9" s="1">
        <v>0.99</v>
      </c>
      <c r="D9" s="1">
        <v>0.12</v>
      </c>
      <c r="E9" s="1">
        <v>0.2</v>
      </c>
      <c r="F9">
        <f t="shared" si="0"/>
        <v>0.5525000000000001</v>
      </c>
    </row>
    <row r="10" spans="2:6" ht="15" thickBot="1" x14ac:dyDescent="0.4">
      <c r="B10" s="1">
        <v>2.21</v>
      </c>
      <c r="C10" s="1">
        <v>1.64</v>
      </c>
      <c r="D10" s="1">
        <v>2.9</v>
      </c>
      <c r="E10" s="1">
        <v>5.34</v>
      </c>
      <c r="F10">
        <f t="shared" si="0"/>
        <v>3.0225</v>
      </c>
    </row>
    <row r="11" spans="2:6" ht="15" thickBot="1" x14ac:dyDescent="0.4">
      <c r="B11" s="1">
        <v>3.92</v>
      </c>
      <c r="C11" s="1">
        <v>4.12</v>
      </c>
      <c r="D11" s="1">
        <v>2.93</v>
      </c>
      <c r="E11" s="1">
        <v>2.76</v>
      </c>
      <c r="F11">
        <f t="shared" si="0"/>
        <v>3.4324999999999997</v>
      </c>
    </row>
    <row r="12" spans="2:6" ht="15" thickBot="1" x14ac:dyDescent="0.4">
      <c r="B12" s="1">
        <v>0.64</v>
      </c>
      <c r="C12" s="1">
        <v>0.43</v>
      </c>
      <c r="D12" s="1">
        <v>0.7</v>
      </c>
      <c r="E12" s="1">
        <v>0.48</v>
      </c>
      <c r="F12">
        <f t="shared" si="0"/>
        <v>0.5625</v>
      </c>
    </row>
    <row r="13" spans="2:6" ht="15" thickBot="1" x14ac:dyDescent="0.4">
      <c r="B13" s="1">
        <v>1.41</v>
      </c>
      <c r="C13" s="1">
        <v>0.9</v>
      </c>
      <c r="D13" s="1">
        <v>0.17</v>
      </c>
      <c r="E13" s="1">
        <v>0.38</v>
      </c>
      <c r="F13">
        <f t="shared" si="0"/>
        <v>0.71499999999999997</v>
      </c>
    </row>
    <row r="14" spans="2:6" ht="15" thickBot="1" x14ac:dyDescent="0.4">
      <c r="B14" s="1">
        <v>0.63</v>
      </c>
      <c r="C14" s="1">
        <v>5.0199999999999996</v>
      </c>
      <c r="D14" s="1">
        <v>0.8</v>
      </c>
      <c r="E14" s="1">
        <v>0.79</v>
      </c>
      <c r="F14">
        <f t="shared" si="0"/>
        <v>1.8099999999999998</v>
      </c>
    </row>
    <row r="15" spans="2:6" ht="15" thickBot="1" x14ac:dyDescent="0.4">
      <c r="B15" s="1">
        <v>3.52</v>
      </c>
      <c r="C15" s="1">
        <v>3.9</v>
      </c>
      <c r="D15" s="1">
        <v>3.22</v>
      </c>
      <c r="E15" s="1">
        <v>3.26</v>
      </c>
      <c r="F15">
        <f t="shared" si="0"/>
        <v>3.4750000000000001</v>
      </c>
    </row>
    <row r="16" spans="2:6" ht="15" thickBot="1" x14ac:dyDescent="0.4">
      <c r="B16" s="1">
        <v>3.22</v>
      </c>
      <c r="C16" s="1">
        <v>3.07</v>
      </c>
      <c r="D16" s="1">
        <v>1.5</v>
      </c>
      <c r="E16" s="1">
        <v>1.52</v>
      </c>
      <c r="F16">
        <f t="shared" si="0"/>
        <v>2.3275000000000001</v>
      </c>
    </row>
    <row r="17" spans="2:6" ht="15" thickBot="1" x14ac:dyDescent="0.4">
      <c r="B17" s="1">
        <v>1.47</v>
      </c>
      <c r="C17" s="1">
        <v>1.6</v>
      </c>
      <c r="D17" s="1">
        <v>3.1</v>
      </c>
      <c r="E17" s="1">
        <v>1.08</v>
      </c>
      <c r="F17">
        <f t="shared" si="0"/>
        <v>1.8125</v>
      </c>
    </row>
    <row r="18" spans="2:6" ht="15" thickBot="1" x14ac:dyDescent="0.4">
      <c r="B18" s="1">
        <v>0.75</v>
      </c>
      <c r="C18" s="1">
        <v>0.28000000000000003</v>
      </c>
      <c r="D18" s="1">
        <v>0.6</v>
      </c>
      <c r="E18" s="1">
        <v>0.43</v>
      </c>
      <c r="F18">
        <f t="shared" si="0"/>
        <v>0.51500000000000001</v>
      </c>
    </row>
    <row r="19" spans="2:6" ht="15" thickBot="1" x14ac:dyDescent="0.4">
      <c r="B19" s="1">
        <v>1.8</v>
      </c>
      <c r="C19" s="1">
        <v>1.38</v>
      </c>
      <c r="D19" s="1">
        <v>0.51</v>
      </c>
      <c r="E19" s="1">
        <v>2.16</v>
      </c>
      <c r="F19">
        <f t="shared" si="0"/>
        <v>1.4624999999999999</v>
      </c>
    </row>
    <row r="20" spans="2:6" ht="15" thickBot="1" x14ac:dyDescent="0.4">
      <c r="B20" s="1">
        <v>0.5</v>
      </c>
      <c r="C20" s="1">
        <v>2.77</v>
      </c>
      <c r="D20" s="1">
        <v>1.28</v>
      </c>
      <c r="E20" s="1">
        <v>1.7</v>
      </c>
      <c r="F20">
        <f t="shared" si="0"/>
        <v>1.5625</v>
      </c>
    </row>
    <row r="21" spans="2:6" ht="15" thickBot="1" x14ac:dyDescent="0.4">
      <c r="B21" s="1">
        <v>0.16</v>
      </c>
      <c r="C21" s="1">
        <v>0.66</v>
      </c>
      <c r="D21" s="1">
        <v>1.61</v>
      </c>
      <c r="E21" s="1">
        <v>1.98</v>
      </c>
      <c r="F21">
        <f t="shared" si="0"/>
        <v>1.1025</v>
      </c>
    </row>
    <row r="22" spans="2:6" ht="15" thickBot="1" x14ac:dyDescent="0.4">
      <c r="B22" s="1">
        <v>1.94</v>
      </c>
      <c r="C22" s="1">
        <v>0.64</v>
      </c>
      <c r="D22" s="1">
        <v>1.77</v>
      </c>
      <c r="E22" s="1">
        <v>4.6399999999999997</v>
      </c>
      <c r="F22">
        <f t="shared" si="0"/>
        <v>2.2474999999999996</v>
      </c>
    </row>
    <row r="23" spans="2:6" ht="15" thickBot="1" x14ac:dyDescent="0.4">
      <c r="B23" s="2" t="s">
        <v>14</v>
      </c>
      <c r="C23" s="5"/>
      <c r="D23" s="5"/>
      <c r="E23" s="3"/>
    </row>
    <row r="24" spans="2:6" ht="15" thickBot="1" x14ac:dyDescent="0.4">
      <c r="B24" s="1">
        <f>AVERAGE(Hoja4!B3:B22)</f>
        <v>1.4710000000000001</v>
      </c>
      <c r="C24" s="1">
        <f>AVERAGE(Hoja4!C3:C22)</f>
        <v>1.9600000000000002</v>
      </c>
      <c r="D24" s="1">
        <f>AVERAGE(Hoja4!D3:D22)</f>
        <v>1.5395000000000001</v>
      </c>
      <c r="E24" s="1">
        <f>AVERAGE(Hoja4!E3:E22)</f>
        <v>1.6675</v>
      </c>
      <c r="F24" s="1">
        <f>AVERAGE(Hoja4!F3:F22)</f>
        <v>1.6595</v>
      </c>
    </row>
    <row r="25" spans="2:6" ht="15" thickBot="1" x14ac:dyDescent="0.4">
      <c r="B25" s="1" t="s">
        <v>13</v>
      </c>
      <c r="C25" s="1" t="s">
        <v>12</v>
      </c>
      <c r="D25" s="1" t="s">
        <v>11</v>
      </c>
      <c r="F25" s="9" t="s">
        <v>11</v>
      </c>
    </row>
    <row r="26" spans="2:6" ht="15" thickBot="1" x14ac:dyDescent="0.4">
      <c r="B26" s="1">
        <f>AVERAGE(Hoja4!B24:E24)</f>
        <v>1.6595</v>
      </c>
      <c r="C26" s="1">
        <v>1</v>
      </c>
      <c r="D26" s="7">
        <f>C26/(B26*B26)</f>
        <v>0.36311608430865561</v>
      </c>
      <c r="F26" s="6">
        <f>1/(F24*F24)</f>
        <v>0.36311608430865561</v>
      </c>
    </row>
  </sheetData>
  <mergeCells count="2">
    <mergeCell ref="B1:E1"/>
    <mergeCell ref="B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Cerazo</dc:creator>
  <cp:lastModifiedBy>Christian Cerazo</cp:lastModifiedBy>
  <dcterms:created xsi:type="dcterms:W3CDTF">2025-09-26T03:46:45Z</dcterms:created>
  <dcterms:modified xsi:type="dcterms:W3CDTF">2025-09-26T16:31:24Z</dcterms:modified>
</cp:coreProperties>
</file>